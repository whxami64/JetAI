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enliste 2025" sheetId="1" state="visible" r:id="rId1"/>
    <sheet xmlns:r="http://schemas.openxmlformats.org/officeDocument/2006/relationships" name="Überleitung JA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Verpackungen GmbH, Musterhausen</t>
        </is>
      </c>
    </row>
    <row r="2">
      <c r="A2" t="inlineStr">
        <is>
          <t>Summen- und Saldenliste per 31.12.2025 (Quelle: D365-Export)</t>
        </is>
      </c>
    </row>
    <row r="4">
      <c r="A4" t="inlineStr">
        <is>
          <t>Konto</t>
        </is>
      </c>
      <c r="B4" t="inlineStr">
        <is>
          <t>Bezeichnung</t>
        </is>
      </c>
      <c r="C4" t="inlineStr">
        <is>
          <t>Kontenart</t>
        </is>
      </c>
      <c r="D4" t="inlineStr">
        <is>
          <t>EB 01.01.2025</t>
        </is>
      </c>
      <c r="E4" t="inlineStr">
        <is>
          <t>Soll 2025</t>
        </is>
      </c>
      <c r="F4" t="inlineStr">
        <is>
          <t>Haben 2025</t>
        </is>
      </c>
      <c r="G4" t="inlineStr">
        <is>
          <t>Saldo 31.12.2025</t>
        </is>
      </c>
    </row>
    <row r="5">
      <c r="A5" t="inlineStr">
        <is>
          <t>020000</t>
        </is>
      </c>
      <c r="B5" t="inlineStr">
        <is>
          <t>Grundstücke</t>
        </is>
      </c>
      <c r="C5" t="inlineStr">
        <is>
          <t>Bilanz</t>
        </is>
      </c>
      <c r="D5" t="n">
        <v>0</v>
      </c>
      <c r="E5" t="n">
        <v>2339597</v>
      </c>
      <c r="F5" t="n">
        <v>0</v>
      </c>
      <c r="G5">
        <f>D5+E5-F5</f>
        <v/>
      </c>
    </row>
    <row r="6">
      <c r="A6" t="inlineStr">
        <is>
          <t>021000</t>
        </is>
      </c>
      <c r="B6" t="inlineStr">
        <is>
          <t>Gebäude und Außenanlagen</t>
        </is>
      </c>
      <c r="C6" t="inlineStr">
        <is>
          <t>Bilanz</t>
        </is>
      </c>
      <c r="D6" t="n">
        <v>0</v>
      </c>
      <c r="E6" t="n">
        <v>2043939</v>
      </c>
      <c r="F6" t="n">
        <v>417604.56</v>
      </c>
      <c r="G6">
        <f>D6+E6-F6</f>
        <v/>
      </c>
    </row>
    <row r="7">
      <c r="A7" t="inlineStr">
        <is>
          <t>040000</t>
        </is>
      </c>
      <c r="B7" t="inlineStr">
        <is>
          <t>Maschinen und maschinelle Anlagen</t>
        </is>
      </c>
      <c r="C7" t="inlineStr">
        <is>
          <t>Bilanz</t>
        </is>
      </c>
      <c r="D7" t="n">
        <v>0</v>
      </c>
      <c r="E7" t="n">
        <v>8623198</v>
      </c>
      <c r="F7" t="n">
        <v>529199.5600000001</v>
      </c>
      <c r="G7">
        <f>D7+E7-F7</f>
        <v/>
      </c>
    </row>
    <row r="8">
      <c r="A8" t="inlineStr">
        <is>
          <t>060000</t>
        </is>
      </c>
      <c r="B8" t="inlineStr">
        <is>
          <t>Betriebs- und Geschäftsausstattung</t>
        </is>
      </c>
      <c r="C8" t="inlineStr">
        <is>
          <t>Bilanz</t>
        </is>
      </c>
      <c r="D8" t="n">
        <v>0</v>
      </c>
      <c r="E8" t="n">
        <v>4325050</v>
      </c>
      <c r="F8" t="n">
        <v>417604.56</v>
      </c>
      <c r="G8">
        <f>D8+E8-F8</f>
        <v/>
      </c>
    </row>
    <row r="9">
      <c r="A9" t="inlineStr">
        <is>
          <t>062000</t>
        </is>
      </c>
      <c r="B9" t="inlineStr">
        <is>
          <t>EDV-Hardware</t>
        </is>
      </c>
      <c r="C9" t="inlineStr">
        <is>
          <t>Bilanz</t>
        </is>
      </c>
      <c r="D9" t="n">
        <v>0</v>
      </c>
      <c r="E9" t="n">
        <v>3652903</v>
      </c>
      <c r="F9" t="n">
        <v>417604.56</v>
      </c>
      <c r="G9">
        <f>D9+E9-F9</f>
        <v/>
      </c>
    </row>
    <row r="10">
      <c r="A10" t="inlineStr">
        <is>
          <t>070000</t>
        </is>
      </c>
      <c r="B10" t="inlineStr">
        <is>
          <t>Anlagen im Bau</t>
        </is>
      </c>
      <c r="C10" t="inlineStr">
        <is>
          <t>Bilanz</t>
        </is>
      </c>
      <c r="D10" t="n">
        <v>0</v>
      </c>
      <c r="E10" t="n">
        <v>526341</v>
      </c>
      <c r="F10" t="n">
        <v>0</v>
      </c>
      <c r="G10">
        <f>D10+E10-F10</f>
        <v/>
      </c>
    </row>
    <row r="11">
      <c r="A11" t="inlineStr">
        <is>
          <t>110000</t>
        </is>
      </c>
      <c r="B11" t="inlineStr">
        <is>
          <t>Roh-, Hilfs- und Betriebsstoffe</t>
        </is>
      </c>
      <c r="C11" t="inlineStr">
        <is>
          <t>Bilanz</t>
        </is>
      </c>
      <c r="D11" t="n">
        <v>0</v>
      </c>
      <c r="E11" t="n">
        <v>44698861</v>
      </c>
      <c r="F11" t="n">
        <v>37700166.96</v>
      </c>
      <c r="G11">
        <f>D11+E11-F11</f>
        <v/>
      </c>
    </row>
    <row r="12">
      <c r="A12" t="inlineStr">
        <is>
          <t>160000</t>
        </is>
      </c>
      <c r="B12" t="inlineStr">
        <is>
          <t>Fertigerzeugnisse</t>
        </is>
      </c>
      <c r="C12" t="inlineStr">
        <is>
          <t>Bilanz</t>
        </is>
      </c>
      <c r="D12" t="n">
        <v>0</v>
      </c>
      <c r="E12" t="n">
        <v>44100166.96</v>
      </c>
      <c r="F12" t="n">
        <v>37700166.96</v>
      </c>
      <c r="G12">
        <f>D12+E12-F12</f>
        <v/>
      </c>
    </row>
    <row r="13">
      <c r="A13" t="inlineStr">
        <is>
          <t>176000</t>
        </is>
      </c>
      <c r="B13" t="inlineStr">
        <is>
          <t>Handelsware</t>
        </is>
      </c>
      <c r="C13" t="inlineStr">
        <is>
          <t>Bilanz</t>
        </is>
      </c>
      <c r="D13" t="n">
        <v>0</v>
      </c>
      <c r="E13" t="n">
        <v>1580000</v>
      </c>
      <c r="F13" t="n">
        <v>0</v>
      </c>
      <c r="G13">
        <f>D13+E13-F13</f>
        <v/>
      </c>
    </row>
    <row r="14">
      <c r="A14" t="inlineStr">
        <is>
          <t>147000</t>
        </is>
      </c>
      <c r="B14" t="inlineStr">
        <is>
          <t>Vorsteuer</t>
        </is>
      </c>
      <c r="C14" t="inlineStr">
        <is>
          <t>Bilanz</t>
        </is>
      </c>
      <c r="D14" t="n">
        <v>0</v>
      </c>
      <c r="E14" t="n">
        <v>8380414.36</v>
      </c>
      <c r="F14" t="n">
        <v>7505950.38</v>
      </c>
      <c r="G14">
        <f>D14+E14-F14</f>
        <v/>
      </c>
    </row>
    <row r="15">
      <c r="A15" t="inlineStr">
        <is>
          <t>230000</t>
        </is>
      </c>
      <c r="B15" t="inlineStr">
        <is>
          <t>Forderungen aus L.u.L.</t>
        </is>
      </c>
      <c r="C15" t="inlineStr">
        <is>
          <t>Bilanz</t>
        </is>
      </c>
      <c r="D15" t="n">
        <v>0</v>
      </c>
      <c r="E15" t="n">
        <v>66567814.8</v>
      </c>
      <c r="F15" t="n">
        <v>53155271.75</v>
      </c>
      <c r="G15">
        <f>D15+E15-F15</f>
        <v/>
      </c>
    </row>
    <row r="16">
      <c r="A16" t="inlineStr">
        <is>
          <t>260000</t>
        </is>
      </c>
      <c r="B16" t="inlineStr">
        <is>
          <t>Sonstige Vermögensgegenstände</t>
        </is>
      </c>
      <c r="C16" t="inlineStr">
        <is>
          <t>Bilanz</t>
        </is>
      </c>
      <c r="D16" t="n">
        <v>0</v>
      </c>
      <c r="E16" t="n">
        <v>0</v>
      </c>
      <c r="F16" t="n">
        <v>0</v>
      </c>
      <c r="G16">
        <f>D16+E16-F16</f>
        <v/>
      </c>
    </row>
    <row r="17">
      <c r="A17" t="inlineStr">
        <is>
          <t>271000</t>
        </is>
      </c>
      <c r="B17" t="inlineStr">
        <is>
          <t>Bank Girokonto Handelsbank</t>
        </is>
      </c>
      <c r="C17" t="inlineStr">
        <is>
          <t>Bilanz</t>
        </is>
      </c>
      <c r="D17" t="n">
        <v>0</v>
      </c>
      <c r="E17" t="n">
        <v>54120956.75</v>
      </c>
      <c r="F17" t="n">
        <v>46702795.21</v>
      </c>
      <c r="G17">
        <f>D17+E17-F17</f>
        <v/>
      </c>
    </row>
    <row r="18">
      <c r="A18" t="inlineStr">
        <is>
          <t>272000</t>
        </is>
      </c>
      <c r="B18" t="inlineStr">
        <is>
          <t>Bank Kontokorrent Musterbank</t>
        </is>
      </c>
      <c r="C18" t="inlineStr">
        <is>
          <t>Bilanz</t>
        </is>
      </c>
      <c r="D18" t="n">
        <v>0</v>
      </c>
      <c r="E18" t="n">
        <v>0</v>
      </c>
      <c r="F18" t="n">
        <v>0</v>
      </c>
      <c r="G18">
        <f>D18+E18-F18</f>
        <v/>
      </c>
    </row>
    <row r="19">
      <c r="A19" t="inlineStr">
        <is>
          <t>288000</t>
        </is>
      </c>
      <c r="B19" t="inlineStr">
        <is>
          <t>Kasse</t>
        </is>
      </c>
      <c r="C19" t="inlineStr">
        <is>
          <t>Bilanz</t>
        </is>
      </c>
      <c r="D19" t="n">
        <v>0</v>
      </c>
      <c r="E19" t="n">
        <v>0</v>
      </c>
      <c r="F19" t="n">
        <v>0</v>
      </c>
      <c r="G19">
        <f>D19+E19-F19</f>
        <v/>
      </c>
    </row>
    <row r="20">
      <c r="A20" t="inlineStr">
        <is>
          <t>300000</t>
        </is>
      </c>
      <c r="B20" t="inlineStr">
        <is>
          <t>Gezeichnetes Kapital und Rücklagen</t>
        </is>
      </c>
      <c r="C20" t="inlineStr">
        <is>
          <t>Bilanz</t>
        </is>
      </c>
      <c r="D20" t="n">
        <v>0</v>
      </c>
      <c r="E20" t="n">
        <v>0</v>
      </c>
      <c r="F20" t="n">
        <v>36841565</v>
      </c>
      <c r="G20">
        <f>D20+E20-F20</f>
        <v/>
      </c>
    </row>
    <row r="21">
      <c r="A21" t="inlineStr">
        <is>
          <t>302000</t>
        </is>
      </c>
      <c r="B21" t="inlineStr">
        <is>
          <t>Sonstige Rückstellungen</t>
        </is>
      </c>
      <c r="C21" t="inlineStr">
        <is>
          <t>Bilanz</t>
        </is>
      </c>
      <c r="D21" t="n">
        <v>0</v>
      </c>
      <c r="E21" t="n">
        <v>0</v>
      </c>
      <c r="F21" t="n">
        <v>891500</v>
      </c>
      <c r="G21">
        <f>D21+E21-F21</f>
        <v/>
      </c>
    </row>
    <row r="22">
      <c r="A22" t="inlineStr">
        <is>
          <t>305000</t>
        </is>
      </c>
      <c r="B22" t="inlineStr">
        <is>
          <t>Steuerrückstellungen</t>
        </is>
      </c>
      <c r="C22" t="inlineStr">
        <is>
          <t>Bilanz</t>
        </is>
      </c>
      <c r="D22" t="n">
        <v>0</v>
      </c>
      <c r="E22" t="n">
        <v>0</v>
      </c>
      <c r="F22" t="n">
        <v>0</v>
      </c>
      <c r="G22">
        <f>D22+E22-F22</f>
        <v/>
      </c>
    </row>
    <row r="23">
      <c r="A23" t="inlineStr">
        <is>
          <t>330000</t>
        </is>
      </c>
      <c r="B23" t="inlineStr">
        <is>
          <t>Verbindlichkeiten aus L.u.L.</t>
        </is>
      </c>
      <c r="C23" t="inlineStr">
        <is>
          <t>Bilanz</t>
        </is>
      </c>
      <c r="D23" t="n">
        <v>0</v>
      </c>
      <c r="E23" t="n">
        <v>40233008.36</v>
      </c>
      <c r="F23" t="n">
        <v>53441863.36</v>
      </c>
      <c r="G23">
        <f>D23+E23-F23</f>
        <v/>
      </c>
    </row>
    <row r="24">
      <c r="A24" t="inlineStr">
        <is>
          <t>332000</t>
        </is>
      </c>
      <c r="B24" t="inlineStr">
        <is>
          <t>Kreditorische Debitoren</t>
        </is>
      </c>
      <c r="C24" t="inlineStr">
        <is>
          <t>Bilanz</t>
        </is>
      </c>
      <c r="D24" t="n">
        <v>0</v>
      </c>
      <c r="E24" t="n">
        <v>0</v>
      </c>
      <c r="F24" t="n">
        <v>691260</v>
      </c>
      <c r="G24">
        <f>D24+E24-F24</f>
        <v/>
      </c>
    </row>
    <row r="25">
      <c r="A25" t="inlineStr">
        <is>
          <t>340000</t>
        </is>
      </c>
      <c r="B25" t="inlineStr">
        <is>
          <t>Verbindlichkeiten Kreditinstitute</t>
        </is>
      </c>
      <c r="C25" t="inlineStr">
        <is>
          <t>Bilanz</t>
        </is>
      </c>
      <c r="D25" t="n">
        <v>0</v>
      </c>
      <c r="E25" t="n">
        <v>0</v>
      </c>
      <c r="F25" t="n">
        <v>1400000</v>
      </c>
      <c r="G25">
        <f>D25+E25-F25</f>
        <v/>
      </c>
    </row>
    <row r="26">
      <c r="A26" t="inlineStr">
        <is>
          <t>347200</t>
        </is>
      </c>
      <c r="B26" t="inlineStr">
        <is>
          <t>Umsatzsteuer</t>
        </is>
      </c>
      <c r="C26" t="inlineStr">
        <is>
          <t>Bilanz</t>
        </is>
      </c>
      <c r="D26" t="n">
        <v>0</v>
      </c>
      <c r="E26" t="n">
        <v>8914195.23</v>
      </c>
      <c r="F26" t="n">
        <v>9694050.800000001</v>
      </c>
      <c r="G26">
        <f>D26+E26-F26</f>
        <v/>
      </c>
    </row>
    <row r="27">
      <c r="A27" t="inlineStr">
        <is>
          <t>360000</t>
        </is>
      </c>
      <c r="B27" t="inlineStr">
        <is>
          <t>Sonstige Verbindlichkeiten</t>
        </is>
      </c>
      <c r="C27" t="inlineStr">
        <is>
          <t>Bilanz</t>
        </is>
      </c>
      <c r="D27" t="n">
        <v>0</v>
      </c>
      <c r="E27" t="n">
        <v>2384252.4</v>
      </c>
      <c r="F27" t="n">
        <v>2384252.4</v>
      </c>
      <c r="G27">
        <f>D27+E27-F27</f>
        <v/>
      </c>
    </row>
    <row r="28">
      <c r="A28" t="inlineStr">
        <is>
          <t>400000</t>
        </is>
      </c>
      <c r="B28" t="inlineStr">
        <is>
          <t>Umsatzerlöse Inland 19%</t>
        </is>
      </c>
      <c r="C28" t="inlineStr">
        <is>
          <t>GuV</t>
        </is>
      </c>
      <c r="D28" t="n">
        <v>0</v>
      </c>
      <c r="E28" t="n">
        <v>18500</v>
      </c>
      <c r="F28" t="n">
        <v>51021320</v>
      </c>
      <c r="G28">
        <f>D28+E28-F28</f>
        <v/>
      </c>
    </row>
    <row r="29">
      <c r="A29" t="inlineStr">
        <is>
          <t>408000</t>
        </is>
      </c>
      <c r="B29" t="inlineStr">
        <is>
          <t>Umsatzerlöse Export EU 0%</t>
        </is>
      </c>
      <c r="C29" t="inlineStr">
        <is>
          <t>GuV</t>
        </is>
      </c>
      <c r="D29" t="n">
        <v>0</v>
      </c>
      <c r="E29" t="n">
        <v>0</v>
      </c>
      <c r="F29" t="n">
        <v>4438602</v>
      </c>
      <c r="G29">
        <f>D29+E29-F29</f>
        <v/>
      </c>
    </row>
    <row r="30">
      <c r="A30" t="inlineStr">
        <is>
          <t>440020</t>
        </is>
      </c>
      <c r="B30" t="inlineStr">
        <is>
          <t>Umsatzboni und Rückvergütungen</t>
        </is>
      </c>
      <c r="C30" t="inlineStr">
        <is>
          <t>GuV</t>
        </is>
      </c>
      <c r="D30" t="n">
        <v>0</v>
      </c>
      <c r="E30" t="n">
        <v>691260</v>
      </c>
      <c r="F30" t="n">
        <v>0</v>
      </c>
      <c r="G30">
        <f>D30+E30-F30</f>
        <v/>
      </c>
    </row>
    <row r="31">
      <c r="A31" t="inlineStr">
        <is>
          <t>480000</t>
        </is>
      </c>
      <c r="B31" t="inlineStr">
        <is>
          <t>Sonstige betriebliche Erträge</t>
        </is>
      </c>
      <c r="C31" t="inlineStr">
        <is>
          <t>GuV</t>
        </is>
      </c>
      <c r="D31" t="n">
        <v>0</v>
      </c>
      <c r="E31" t="n">
        <v>0</v>
      </c>
      <c r="F31" t="n">
        <v>0</v>
      </c>
      <c r="G31">
        <f>D31+E31-F31</f>
        <v/>
      </c>
    </row>
    <row r="32">
      <c r="A32" t="inlineStr">
        <is>
          <t>500000</t>
        </is>
      </c>
      <c r="B32" t="inlineStr">
        <is>
          <t>Materialaufwand / Wareneinsatz</t>
        </is>
      </c>
      <c r="C32" t="inlineStr">
        <is>
          <t>GuV</t>
        </is>
      </c>
      <c r="D32" t="n">
        <v>0</v>
      </c>
      <c r="E32" t="n">
        <v>37700166.96</v>
      </c>
      <c r="F32" t="n">
        <v>0</v>
      </c>
      <c r="G32">
        <f>D32+E32-F32</f>
        <v/>
      </c>
    </row>
    <row r="33">
      <c r="A33" t="inlineStr">
        <is>
          <t>510000</t>
        </is>
      </c>
      <c r="B33" t="inlineStr">
        <is>
          <t>Bezugsnebenkosten</t>
        </is>
      </c>
      <c r="C33" t="inlineStr">
        <is>
          <t>GuV</t>
        </is>
      </c>
      <c r="D33" t="n">
        <v>0</v>
      </c>
      <c r="E33" t="n">
        <v>698229</v>
      </c>
      <c r="F33" t="n">
        <v>0</v>
      </c>
      <c r="G33">
        <f>D33+E33-F33</f>
        <v/>
      </c>
    </row>
    <row r="34">
      <c r="A34" t="inlineStr">
        <is>
          <t>600000</t>
        </is>
      </c>
      <c r="B34" t="inlineStr">
        <is>
          <t>Löhne und Gehälter</t>
        </is>
      </c>
      <c r="C34" t="inlineStr">
        <is>
          <t>GuV</t>
        </is>
      </c>
      <c r="D34" t="n">
        <v>0</v>
      </c>
      <c r="E34" t="n">
        <v>4110780</v>
      </c>
      <c r="F34" t="n">
        <v>0</v>
      </c>
      <c r="G34">
        <f>D34+E34-F34</f>
        <v/>
      </c>
    </row>
    <row r="35">
      <c r="A35" t="inlineStr">
        <is>
          <t>610000</t>
        </is>
      </c>
      <c r="B35" t="inlineStr">
        <is>
          <t>Soziale Abgaben</t>
        </is>
      </c>
      <c r="C35" t="inlineStr">
        <is>
          <t>GuV</t>
        </is>
      </c>
      <c r="D35" t="n">
        <v>0</v>
      </c>
      <c r="E35" t="n">
        <v>822156</v>
      </c>
      <c r="F35" t="n">
        <v>0</v>
      </c>
      <c r="G35">
        <f>D35+E35-F35</f>
        <v/>
      </c>
    </row>
    <row r="36">
      <c r="A36" t="inlineStr">
        <is>
          <t>620000</t>
        </is>
      </c>
      <c r="B36" t="inlineStr">
        <is>
          <t>Abschreibungen</t>
        </is>
      </c>
      <c r="C36" t="inlineStr">
        <is>
          <t>GuV</t>
        </is>
      </c>
      <c r="D36" t="n">
        <v>0</v>
      </c>
      <c r="E36" t="n">
        <v>1670418.24</v>
      </c>
      <c r="F36" t="n">
        <v>0</v>
      </c>
      <c r="G36">
        <f>D36+E36-F36</f>
        <v/>
      </c>
    </row>
    <row r="37">
      <c r="A37" t="inlineStr">
        <is>
          <t>670000</t>
        </is>
      </c>
      <c r="B37" t="inlineStr">
        <is>
          <t>Instandhaltung und Reparaturen</t>
        </is>
      </c>
      <c r="C37" t="inlineStr">
        <is>
          <t>GuV</t>
        </is>
      </c>
      <c r="D37" t="n">
        <v>0</v>
      </c>
      <c r="E37" t="n">
        <v>754560</v>
      </c>
      <c r="F37" t="n">
        <v>0</v>
      </c>
      <c r="G37">
        <f>D37+E37-F37</f>
        <v/>
      </c>
    </row>
    <row r="38">
      <c r="A38" t="inlineStr">
        <is>
          <t>671000</t>
        </is>
      </c>
      <c r="B38" t="inlineStr">
        <is>
          <t>Energie</t>
        </is>
      </c>
      <c r="C38" t="inlineStr">
        <is>
          <t>GuV</t>
        </is>
      </c>
      <c r="D38" t="n">
        <v>0</v>
      </c>
      <c r="E38" t="n">
        <v>610691</v>
      </c>
      <c r="F38" t="n">
        <v>0</v>
      </c>
      <c r="G38">
        <f>D38+E38-F38</f>
        <v/>
      </c>
    </row>
    <row r="39">
      <c r="A39" t="inlineStr">
        <is>
          <t>672000</t>
        </is>
      </c>
      <c r="B39" t="inlineStr">
        <is>
          <t>Mieten und Leasing</t>
        </is>
      </c>
      <c r="C39" t="inlineStr">
        <is>
          <t>GuV</t>
        </is>
      </c>
      <c r="D39" t="n">
        <v>0</v>
      </c>
      <c r="E39" t="n">
        <v>624475</v>
      </c>
      <c r="F39" t="n">
        <v>0</v>
      </c>
      <c r="G39">
        <f>D39+E39-F39</f>
        <v/>
      </c>
    </row>
    <row r="40">
      <c r="A40" t="inlineStr">
        <is>
          <t>673000</t>
        </is>
      </c>
      <c r="B40" t="inlineStr">
        <is>
          <t>Rechts- und Beratungskosten</t>
        </is>
      </c>
      <c r="C40" t="inlineStr">
        <is>
          <t>GuV</t>
        </is>
      </c>
      <c r="D40" t="n">
        <v>0</v>
      </c>
      <c r="E40" t="n">
        <v>948809</v>
      </c>
      <c r="F40" t="n">
        <v>0</v>
      </c>
      <c r="G40">
        <f>D40+E40-F40</f>
        <v/>
      </c>
    </row>
    <row r="41">
      <c r="A41" t="inlineStr">
        <is>
          <t>674000</t>
        </is>
      </c>
      <c r="B41" t="inlineStr">
        <is>
          <t>Werbe- und Reisekosten</t>
        </is>
      </c>
      <c r="C41" t="inlineStr">
        <is>
          <t>GuV</t>
        </is>
      </c>
      <c r="D41" t="n">
        <v>0</v>
      </c>
      <c r="E41" t="n">
        <v>716885</v>
      </c>
      <c r="F41" t="n">
        <v>0</v>
      </c>
      <c r="G41">
        <f>D41+E41-F41</f>
        <v/>
      </c>
    </row>
    <row r="42">
      <c r="A42" t="inlineStr">
        <is>
          <t>675000</t>
        </is>
      </c>
      <c r="B42" t="inlineStr">
        <is>
          <t>Fuhrpark</t>
        </is>
      </c>
      <c r="C42" t="inlineStr">
        <is>
          <t>GuV</t>
        </is>
      </c>
      <c r="D42" t="n">
        <v>0</v>
      </c>
      <c r="E42" t="n">
        <v>739215</v>
      </c>
      <c r="F42" t="n">
        <v>0</v>
      </c>
      <c r="G42">
        <f>D42+E42-F42</f>
        <v/>
      </c>
    </row>
    <row r="43">
      <c r="A43" t="inlineStr">
        <is>
          <t>676000</t>
        </is>
      </c>
      <c r="B43" t="inlineStr">
        <is>
          <t>Versicherungen und Beiträge</t>
        </is>
      </c>
      <c r="C43" t="inlineStr">
        <is>
          <t>GuV</t>
        </is>
      </c>
      <c r="D43" t="n">
        <v>0</v>
      </c>
      <c r="E43" t="n">
        <v>601029</v>
      </c>
      <c r="F43" t="n">
        <v>0</v>
      </c>
      <c r="G43">
        <f>D43+E43-F43</f>
        <v/>
      </c>
    </row>
    <row r="44">
      <c r="A44" t="inlineStr">
        <is>
          <t>677000</t>
        </is>
      </c>
      <c r="B44" t="inlineStr">
        <is>
          <t>Sonstiger Betriebsbedarf</t>
        </is>
      </c>
      <c r="C44" t="inlineStr">
        <is>
          <t>GuV</t>
        </is>
      </c>
      <c r="D44" t="n">
        <v>0</v>
      </c>
      <c r="E44" t="n">
        <v>1137417</v>
      </c>
      <c r="F44" t="n">
        <v>0</v>
      </c>
      <c r="G44">
        <f>D44+E44-F44</f>
        <v/>
      </c>
    </row>
    <row r="45">
      <c r="A45" t="inlineStr">
        <is>
          <t>680000</t>
        </is>
      </c>
      <c r="B45" t="inlineStr">
        <is>
          <t>Konzernumlage / Verwaltungsleistungen</t>
        </is>
      </c>
      <c r="C45" t="inlineStr">
        <is>
          <t>GuV</t>
        </is>
      </c>
      <c r="D45" t="n">
        <v>0</v>
      </c>
      <c r="E45" t="n">
        <v>889445</v>
      </c>
      <c r="F45" t="n">
        <v>0</v>
      </c>
      <c r="G45">
        <f>D45+E45-F45</f>
        <v/>
      </c>
    </row>
    <row r="46">
      <c r="A46" t="inlineStr">
        <is>
          <t>700000</t>
        </is>
      </c>
      <c r="B46" t="inlineStr">
        <is>
          <t>Zinsaufwand</t>
        </is>
      </c>
      <c r="C46" t="inlineStr">
        <is>
          <t>GuV</t>
        </is>
      </c>
      <c r="D46" t="n">
        <v>0</v>
      </c>
      <c r="E46" t="n">
        <v>126044</v>
      </c>
      <c r="F46" t="n">
        <v>0</v>
      </c>
      <c r="G46">
        <f>D46+E46-F46</f>
        <v/>
      </c>
    </row>
    <row r="47">
      <c r="A47" t="inlineStr">
        <is>
          <t>710000</t>
        </is>
      </c>
      <c r="B47" t="inlineStr">
        <is>
          <t>Zinsertrag</t>
        </is>
      </c>
      <c r="C47" t="inlineStr">
        <is>
          <t>GuV</t>
        </is>
      </c>
      <c r="D47" t="n">
        <v>0</v>
      </c>
      <c r="E47" t="n">
        <v>0</v>
      </c>
      <c r="F47" t="n">
        <v>0</v>
      </c>
      <c r="G47">
        <f>D47+E47-F47</f>
        <v/>
      </c>
    </row>
    <row r="48">
      <c r="B48" t="inlineStr">
        <is>
          <t>Summe</t>
        </is>
      </c>
      <c r="D48">
        <f>SUM(D5:D47)</f>
        <v/>
      </c>
      <c r="E48">
        <f>SUM(E5:E47)</f>
        <v/>
      </c>
      <c r="F48">
        <f>SUM(F5:F47)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Überleitung Saldenliste -&gt; Jahresabschluss 2025</t>
        </is>
      </c>
    </row>
    <row r="3">
      <c r="B3" t="inlineStr">
        <is>
          <t>Jahresergebnis laut Erfolgskonten</t>
        </is>
      </c>
      <c r="C3">
        <f>-SUMIF('Saldenliste 2025'!C:C,"GuV",'Saldenliste 2025'!G:G)</f>
        <v/>
      </c>
    </row>
    <row r="4">
      <c r="B4" t="inlineStr">
        <is>
          <t>Jahresüberschuss laut Entwurf</t>
        </is>
      </c>
      <c r="C4" t="n">
        <v>2599841.8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2026-07-18T08:15:03Z</dcterms:created>
  <dcterms:modified xmlns:dcterms="http://purl.org/dc/terms/" xmlns:xsi="http://www.w3.org/2001/XMLSchema-instance" xsi:type="dcterms:W3CDTF">2026-07-18T08:15:03Z</dcterms:modified>
</cp:coreProperties>
</file>